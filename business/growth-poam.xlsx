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Growth Curve" sheetId="2" state="visible" r:id="rId2"/>
    <sheet xmlns:r="http://schemas.openxmlformats.org/officeDocument/2006/relationships" name="POAM" sheetId="3" state="visible" r:id="rId3"/>
    <sheet xmlns:r="http://schemas.openxmlformats.org/officeDocument/2006/relationships" name="Business Model Path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mmm\ yyyy"/>
    <numFmt numFmtId="165" formatCode="\$#,##0"/>
    <numFmt numFmtId="166" formatCode="0.0"/>
    <numFmt numFmtId="167" formatCode="0.0x"/>
    <numFmt numFmtId="168" formatCode="$#,##0"/>
    <numFmt numFmtId="169" formatCode="mmm 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B8043"/>
      <sz val="11"/>
    </font>
    <font>
      <name val="Arial"/>
      <b val="1"/>
      <sz val="11"/>
    </font>
    <font>
      <name val="Arial"/>
      <color rgb="00000000"/>
    </font>
    <font>
      <name val="Arial"/>
      <color rgb="000000FF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D3D"/>
        <bgColor rgb="FF003366"/>
      </patternFill>
    </fill>
    <fill>
      <patternFill patternType="solid">
        <fgColor rgb="00FFFF00"/>
      </patternFill>
    </fill>
    <fill>
      <patternFill patternType="solid">
        <fgColor rgb="001F2D3D"/>
      </patternFill>
    </fill>
    <fill>
      <patternFill patternType="solid">
        <fgColor rgb="00E8F0FE"/>
      </patternFill>
    </fill>
    <fill>
      <patternFill patternType="solid">
        <fgColor rgb="00FFF4E5"/>
      </patternFill>
    </fill>
    <fill>
      <patternFill patternType="solid">
        <fgColor rgb="00E6F4E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1" fillId="0" borderId="0" pivotButton="0" quotePrefix="0" xfId="0"/>
    <xf numFmtId="0" fontId="12" fillId="0" borderId="0" pivotButton="0" quotePrefix="0" xfId="0"/>
    <xf numFmtId="167" fontId="13" fillId="4" borderId="0" pivotButton="0" quotePrefix="0" xfId="0"/>
    <xf numFmtId="9" fontId="13" fillId="4" borderId="0" pivotButton="0" quotePrefix="0" xfId="0"/>
    <xf numFmtId="168" fontId="13" fillId="4" borderId="0" pivotButton="0" quotePrefix="0" xfId="0"/>
    <xf numFmtId="0" fontId="8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5" borderId="0" applyAlignment="1" pivotButton="0" quotePrefix="0" xfId="0">
      <alignment horizontal="center"/>
    </xf>
    <xf numFmtId="0" fontId="16" fillId="5" borderId="2" pivotButton="0" quotePrefix="0" xfId="0"/>
    <xf numFmtId="0" fontId="17" fillId="6" borderId="2" applyAlignment="1" pivotButton="0" quotePrefix="0" xfId="0">
      <alignment vertical="top" wrapText="1"/>
    </xf>
    <xf numFmtId="0" fontId="17" fillId="7" borderId="2" applyAlignment="1" pivotButton="0" quotePrefix="0" xfId="0">
      <alignment vertical="top" wrapText="1"/>
    </xf>
    <xf numFmtId="0" fontId="17" fillId="8" borderId="2" applyAlignment="1" pivotButton="0" quotePrefix="0" xfId="0">
      <alignment vertical="top" wrapText="1"/>
    </xf>
    <xf numFmtId="0" fontId="12" fillId="0" borderId="2" pivotButton="0" quotePrefix="0" xfId="0"/>
    <xf numFmtId="169" fontId="12" fillId="0" borderId="2" pivotButton="0" quotePrefix="0" xfId="0"/>
    <xf numFmtId="168" fontId="12" fillId="0" borderId="2" pivotButton="0" quotePrefix="0" xfId="0"/>
    <xf numFmtId="166" fontId="12" fillId="0" borderId="2" pivotButton="0" quotePrefix="0" xfId="0"/>
    <xf numFmtId="1" fontId="12" fillId="0" borderId="2" pivotButton="0" quotePrefix="0" xfId="0"/>
    <xf numFmtId="0" fontId="17" fillId="0" borderId="2" pivotButton="0" quotePrefix="0" xfId="0"/>
    <xf numFmtId="168" fontId="17" fillId="0" borderId="2" pivotButton="0" quotePrefix="0" xfId="0"/>
    <xf numFmtId="0" fontId="12" fillId="0" borderId="3" pivotButton="0" quotePrefix="0" xfId="0"/>
    <xf numFmtId="169" fontId="12" fillId="0" borderId="3" pivotButton="0" quotePrefix="0" xfId="0"/>
    <xf numFmtId="168" fontId="12" fillId="0" borderId="3" pivotButton="0" quotePrefix="0" xfId="0"/>
    <xf numFmtId="166" fontId="12" fillId="0" borderId="3" pivotButton="0" quotePrefix="0" xfId="0"/>
    <xf numFmtId="0" fontId="0" fillId="0" borderId="3" pivotButton="0" quotePrefix="0" xfId="0"/>
    <xf numFmtId="1" fontId="13" fillId="4" borderId="0" pivotButton="0" quotePrefix="0" xfId="0"/>
    <xf numFmtId="0" fontId="12" fillId="0" borderId="2" applyAlignment="1" pivotButton="0" quotePrefix="0" xfId="0">
      <alignment vertical="top" wrapText="1"/>
    </xf>
    <xf numFmtId="0" fontId="16" fillId="5" borderId="0" applyAlignment="1" pivotButton="0" quotePrefix="0" xfId="0">
      <alignment horizontal="center" wrapText="1"/>
    </xf>
    <xf numFmtId="0" fontId="17" fillId="6" borderId="2" pivotButton="0" quotePrefix="0" xfId="0"/>
    <xf numFmtId="0" fontId="17" fillId="7" borderId="2" pivotButton="0" quotePrefix="0" xfId="0"/>
    <xf numFmtId="0" fontId="17" fillId="8" borderId="2" pivotButton="0" quotePrefix="0" xfId="0"/>
    <xf numFmtId="169" fontId="12" fillId="0" borderId="0" pivotButton="0" quotePrefix="0" xfId="0"/>
    <xf numFmtId="0" fontId="13" fillId="0" borderId="0" pivotButton="0" quotePrefix="0" xfId="0"/>
    <xf numFmtId="168" fontId="12" fillId="0" borderId="0" pivotButton="0" quotePrefix="0" xfId="0"/>
    <xf numFmtId="166" fontId="1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043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20" min="1" max="1"/>
    <col width="16" customWidth="1" style="20" min="2" max="2"/>
  </cols>
  <sheetData>
    <row r="1" ht="17.35" customHeight="1" s="21">
      <c r="A1" s="22" t="inlineStr">
        <is>
          <t>CharredGuard — Growth Model Assumptions</t>
        </is>
      </c>
    </row>
    <row r="2" ht="15" customHeight="1" s="21">
      <c r="A2" s="23" t="inlineStr">
        <is>
          <t>Edit the yellow cells. Growth Curve and POAM sheets recalculate from these.</t>
        </is>
      </c>
    </row>
    <row r="4" ht="15" customHeight="1" s="21">
      <c r="A4" s="24" t="inlineStr">
        <is>
          <t>Launch Date (Month 1 start)</t>
        </is>
      </c>
      <c r="B4" s="25" t="n">
        <v>46266</v>
      </c>
    </row>
    <row r="5" ht="15" customHeight="1" s="21">
      <c r="A5" s="24" t="inlineStr">
        <is>
          <t>On-Site Audit Price ($)</t>
        </is>
      </c>
      <c r="B5" s="26" t="n">
        <v>500</v>
      </c>
    </row>
    <row r="6" ht="15" customHeight="1" s="21">
      <c r="A6" s="24" t="inlineStr">
        <is>
          <t>Guided Self-Inspection Price ($)</t>
        </is>
      </c>
      <c r="B6" s="26" t="n">
        <v>200</v>
      </c>
    </row>
    <row r="7" ht="15" customHeight="1" s="21">
      <c r="A7" s="24" t="inlineStr">
        <is>
          <t>Avg Hardening Add-On Ticket ($)</t>
        </is>
      </c>
      <c r="B7" s="26" t="n">
        <v>450</v>
      </c>
    </row>
    <row r="8" ht="15" customHeight="1" s="21">
      <c r="A8" s="24" t="inlineStr">
        <is>
          <t>Hours per On-Site Audit (travel + visit + report)</t>
        </is>
      </c>
      <c r="B8" s="27" t="n">
        <v>4</v>
      </c>
    </row>
    <row r="9" ht="15" customHeight="1" s="21">
      <c r="A9" s="24" t="inlineStr">
        <is>
          <t>Hours per Guided Self-Inspection (review + report)</t>
        </is>
      </c>
      <c r="B9" s="27" t="n">
        <v>1</v>
      </c>
    </row>
    <row r="10" ht="15" customHeight="1" s="21">
      <c r="A10" s="24" t="inlineStr">
        <is>
          <t>Hours per Hardening Job (travel + materials + install)</t>
        </is>
      </c>
      <c r="B10" s="27" t="n">
        <v>4</v>
      </c>
    </row>
    <row r="11" ht="15" customHeight="1" s="21">
      <c r="A11" s="24" t="inlineStr">
        <is>
          <t>Sustainable Solo Delivery Hours / Week</t>
        </is>
      </c>
      <c r="B11" s="27" t="n">
        <v>25</v>
      </c>
    </row>
    <row r="12" ht="15" customHeight="1" s="21">
      <c r="A12" s="24" t="inlineStr">
        <is>
          <t>Weeks per Month (avg)</t>
        </is>
      </c>
      <c r="B12" s="27" t="n">
        <v>4.33</v>
      </c>
    </row>
    <row r="14" ht="30" customHeight="1" s="21">
      <c r="A14" s="28" t="inlineStr">
        <is>
          <t>Note: delivery-hour estimates and the 25 hr/wk sustainable-capacity figure are working assumptions, not measured data — adjust as real jobs give you actual timing.</t>
        </is>
      </c>
    </row>
    <row r="16">
      <c r="A16" s="29" t="inlineStr">
        <is>
          <t>Path &amp; Profitability Inputs</t>
        </is>
      </c>
    </row>
    <row r="17">
      <c r="A17" s="30" t="inlineStr">
        <is>
          <t>Solo Part-Time Hours / Week (evenings, Paths B &amp; C, and Path A before partner joins)</t>
        </is>
      </c>
      <c r="B17" s="63" t="n">
        <v>12</v>
      </c>
    </row>
    <row r="18">
      <c r="A18" s="30" t="inlineStr">
        <is>
          <t>Two-Person Full-Time Hours / Week (Path A, after partner joins)</t>
        </is>
      </c>
      <c r="B18" s="63" t="n">
        <v>45</v>
      </c>
    </row>
    <row r="19">
      <c r="A19" s="30" t="inlineStr">
        <is>
          <t>Partner Join Month (Path A trigger, 1-12)</t>
        </is>
      </c>
      <c r="B19" s="63" t="n">
        <v>6</v>
      </c>
    </row>
    <row r="20">
      <c r="A20" s="30" t="inlineStr">
        <is>
          <t>Audit / Self-Inspection Gross Margin (%)</t>
        </is>
      </c>
      <c r="B20" s="32" t="n">
        <v>0.9</v>
      </c>
    </row>
    <row r="21">
      <c r="A21" s="30" t="inlineStr">
        <is>
          <t>Hardening Add-On Gross Margin (%)</t>
        </is>
      </c>
      <c r="B21" s="32" t="n">
        <v>0.65</v>
      </c>
    </row>
    <row r="22">
      <c r="A22" s="30" t="inlineStr">
        <is>
          <t>Fixed Monthly Overhead ($)</t>
        </is>
      </c>
      <c r="B22" s="33" t="n">
        <v>223</v>
      </c>
    </row>
    <row r="24" ht="55" customHeight="1" s="21">
      <c r="A24" s="45" t="inlineStr">
        <is>
          <t>These three paths are the actual decision on the table, not just optimism levels. Path A assumes your business partner leaves their job once volume justifies it (Month 19 sets when); Path B keeps this a permanent evenings/weekends operation; Path C also stays part-time solo but drops the hardening add-on entirely, which sidesteps almost every open item in legal-risk-notes.md since there's no contractor-licensing exemption being relied on.</t>
        </is>
      </c>
    </row>
  </sheetData>
  <mergeCells count="2">
    <mergeCell ref="A24:F24"/>
    <mergeCell ref="A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0" min="1" max="1"/>
    <col width="12" customWidth="1" style="20" min="2" max="2"/>
    <col width="9" customWidth="1" style="20" min="3" max="3"/>
    <col width="15" customWidth="1" style="20" min="4" max="4"/>
    <col width="13" customWidth="1" style="20" min="5" max="5"/>
    <col width="12" customWidth="1" style="20" min="6" max="6"/>
    <col width="13" customWidth="1" style="20" min="7" max="7"/>
    <col width="12" customWidth="1" style="20" min="8" max="8"/>
    <col width="26" customWidth="1" style="20" min="9" max="9"/>
  </cols>
  <sheetData>
    <row r="1" ht="17.35" customHeight="1" s="21">
      <c r="A1" s="22" t="inlineStr">
        <is>
          <t>Year 1 Growth Curve &amp; Solo-Capacity Check</t>
        </is>
      </c>
    </row>
    <row r="2" ht="15" customHeight="1" s="21">
      <c r="A2" s="23" t="inlineStr">
        <is>
          <t>Volume targets are from the business plan's Year-1 projection. Hours/Capacity columns are computed live from the Assumptions sheet.</t>
        </is>
      </c>
    </row>
    <row r="4" ht="26.85" customHeight="1" s="21">
      <c r="A4" s="34" t="inlineStr">
        <is>
          <t>Month #</t>
        </is>
      </c>
      <c r="B4" s="34" t="inlineStr">
        <is>
          <t>Target Month</t>
        </is>
      </c>
      <c r="C4" s="34" t="inlineStr">
        <is>
          <t>Audits</t>
        </is>
      </c>
      <c r="D4" s="34" t="inlineStr">
        <is>
          <t>Self-Inspections</t>
        </is>
      </c>
      <c r="E4" s="34" t="inlineStr">
        <is>
          <t>Hardening Jobs</t>
        </is>
      </c>
      <c r="F4" s="34" t="inlineStr">
        <is>
          <t>Revenue ($)</t>
        </is>
      </c>
      <c r="G4" s="34" t="inlineStr">
        <is>
          <t>Delivery Hours</t>
        </is>
      </c>
      <c r="H4" s="34" t="inlineStr">
        <is>
          <t>Hours / Week</t>
        </is>
      </c>
      <c r="I4" s="34" t="inlineStr">
        <is>
          <t>Capacity Status</t>
        </is>
      </c>
    </row>
    <row r="5" ht="15" customHeight="1" s="21">
      <c r="A5" s="35" t="n">
        <v>1</v>
      </c>
      <c r="B5" s="36">
        <f>EDATE(Assumptions!$B$4,A5-1)</f>
        <v/>
      </c>
      <c r="C5" s="37" t="n">
        <v>2</v>
      </c>
      <c r="D5" s="37" t="n">
        <v>1</v>
      </c>
      <c r="E5" s="37" t="n">
        <v>1</v>
      </c>
      <c r="F5" s="38">
        <f>C5*Assumptions!$B$5+D5*Assumptions!$B$6+E5*Assumptions!$B$7</f>
        <v/>
      </c>
      <c r="G5" s="39">
        <f>C5*Assumptions!$B$8+D5*Assumptions!$B$9+E5*Assumptions!$B$10</f>
        <v/>
      </c>
      <c r="H5" s="39">
        <f>G5/Assumptions!$B$12</f>
        <v/>
      </c>
      <c r="I5" s="35">
        <f>IF(H5&gt;Assumptions!$B$11,"OVER CAPACITY — consider help","OK")</f>
        <v/>
      </c>
    </row>
    <row r="6" ht="15" customHeight="1" s="21">
      <c r="A6" s="35" t="n">
        <v>2</v>
      </c>
      <c r="B6" s="36">
        <f>EDATE(Assumptions!$B$4,A6-1)</f>
        <v/>
      </c>
      <c r="C6" s="37" t="n">
        <v>3</v>
      </c>
      <c r="D6" s="37" t="n">
        <v>2</v>
      </c>
      <c r="E6" s="37" t="n">
        <v>1</v>
      </c>
      <c r="F6" s="38">
        <f>C6*Assumptions!$B$5+D6*Assumptions!$B$6+E6*Assumptions!$B$7</f>
        <v/>
      </c>
      <c r="G6" s="39">
        <f>C6*Assumptions!$B$8+D6*Assumptions!$B$9+E6*Assumptions!$B$10</f>
        <v/>
      </c>
      <c r="H6" s="39">
        <f>G6/Assumptions!$B$12</f>
        <v/>
      </c>
      <c r="I6" s="35">
        <f>IF(H6&gt;Assumptions!$B$11,"OVER CAPACITY — consider help","OK")</f>
        <v/>
      </c>
    </row>
    <row r="7" ht="15" customHeight="1" s="21">
      <c r="A7" s="35" t="n">
        <v>3</v>
      </c>
      <c r="B7" s="36">
        <f>EDATE(Assumptions!$B$4,A7-1)</f>
        <v/>
      </c>
      <c r="C7" s="37" t="n">
        <v>4</v>
      </c>
      <c r="D7" s="37" t="n">
        <v>2</v>
      </c>
      <c r="E7" s="37" t="n">
        <v>2</v>
      </c>
      <c r="F7" s="38">
        <f>C7*Assumptions!$B$5+D7*Assumptions!$B$6+E7*Assumptions!$B$7</f>
        <v/>
      </c>
      <c r="G7" s="39">
        <f>C7*Assumptions!$B$8+D7*Assumptions!$B$9+E7*Assumptions!$B$10</f>
        <v/>
      </c>
      <c r="H7" s="39">
        <f>G7/Assumptions!$B$12</f>
        <v/>
      </c>
      <c r="I7" s="35">
        <f>IF(H7&gt;Assumptions!$B$11,"OVER CAPACITY — consider help","OK")</f>
        <v/>
      </c>
    </row>
    <row r="8" ht="15" customHeight="1" s="21">
      <c r="A8" s="35" t="n">
        <v>4</v>
      </c>
      <c r="B8" s="36">
        <f>EDATE(Assumptions!$B$4,A8-1)</f>
        <v/>
      </c>
      <c r="C8" s="37" t="n">
        <v>5</v>
      </c>
      <c r="D8" s="37" t="n">
        <v>3</v>
      </c>
      <c r="E8" s="37" t="n">
        <v>2</v>
      </c>
      <c r="F8" s="38">
        <f>C8*Assumptions!$B$5+D8*Assumptions!$B$6+E8*Assumptions!$B$7</f>
        <v/>
      </c>
      <c r="G8" s="39">
        <f>C8*Assumptions!$B$8+D8*Assumptions!$B$9+E8*Assumptions!$B$10</f>
        <v/>
      </c>
      <c r="H8" s="39">
        <f>G8/Assumptions!$B$12</f>
        <v/>
      </c>
      <c r="I8" s="35">
        <f>IF(H8&gt;Assumptions!$B$11,"OVER CAPACITY — consider help","OK")</f>
        <v/>
      </c>
    </row>
    <row r="9" ht="15" customHeight="1" s="21">
      <c r="A9" s="35" t="n">
        <v>5</v>
      </c>
      <c r="B9" s="36">
        <f>EDATE(Assumptions!$B$4,A9-1)</f>
        <v/>
      </c>
      <c r="C9" s="37" t="n">
        <v>6</v>
      </c>
      <c r="D9" s="37" t="n">
        <v>3</v>
      </c>
      <c r="E9" s="37" t="n">
        <v>3</v>
      </c>
      <c r="F9" s="38">
        <f>C9*Assumptions!$B$5+D9*Assumptions!$B$6+E9*Assumptions!$B$7</f>
        <v/>
      </c>
      <c r="G9" s="39">
        <f>C9*Assumptions!$B$8+D9*Assumptions!$B$9+E9*Assumptions!$B$10</f>
        <v/>
      </c>
      <c r="H9" s="39">
        <f>G9/Assumptions!$B$12</f>
        <v/>
      </c>
      <c r="I9" s="35">
        <f>IF(H9&gt;Assumptions!$B$11,"OVER CAPACITY — consider help","OK")</f>
        <v/>
      </c>
    </row>
    <row r="10" ht="15" customHeight="1" s="21">
      <c r="A10" s="35" t="n">
        <v>6</v>
      </c>
      <c r="B10" s="36">
        <f>EDATE(Assumptions!$B$4,A10-1)</f>
        <v/>
      </c>
      <c r="C10" s="37" t="n">
        <v>8</v>
      </c>
      <c r="D10" s="37" t="n">
        <v>4</v>
      </c>
      <c r="E10" s="37" t="n">
        <v>3</v>
      </c>
      <c r="F10" s="38">
        <f>C10*Assumptions!$B$5+D10*Assumptions!$B$6+E10*Assumptions!$B$7</f>
        <v/>
      </c>
      <c r="G10" s="39">
        <f>C10*Assumptions!$B$8+D10*Assumptions!$B$9+E10*Assumptions!$B$10</f>
        <v/>
      </c>
      <c r="H10" s="39">
        <f>G10/Assumptions!$B$12</f>
        <v/>
      </c>
      <c r="I10" s="35">
        <f>IF(H10&gt;Assumptions!$B$11,"OVER CAPACITY — consider help","OK")</f>
        <v/>
      </c>
    </row>
    <row r="11" ht="15" customHeight="1" s="21">
      <c r="A11" s="35" t="n">
        <v>7</v>
      </c>
      <c r="B11" s="36">
        <f>EDATE(Assumptions!$B$4,A11-1)</f>
        <v/>
      </c>
      <c r="C11" s="37" t="n">
        <v>9</v>
      </c>
      <c r="D11" s="37" t="n">
        <v>4</v>
      </c>
      <c r="E11" s="37" t="n">
        <v>4</v>
      </c>
      <c r="F11" s="38">
        <f>C11*Assumptions!$B$5+D11*Assumptions!$B$6+E11*Assumptions!$B$7</f>
        <v/>
      </c>
      <c r="G11" s="39">
        <f>C11*Assumptions!$B$8+D11*Assumptions!$B$9+E11*Assumptions!$B$10</f>
        <v/>
      </c>
      <c r="H11" s="39">
        <f>G11/Assumptions!$B$12</f>
        <v/>
      </c>
      <c r="I11" s="35">
        <f>IF(H11&gt;Assumptions!$B$11,"OVER CAPACITY — consider help","OK")</f>
        <v/>
      </c>
    </row>
    <row r="12" ht="15" customHeight="1" s="21">
      <c r="A12" s="35" t="n">
        <v>8</v>
      </c>
      <c r="B12" s="36">
        <f>EDATE(Assumptions!$B$4,A12-1)</f>
        <v/>
      </c>
      <c r="C12" s="37" t="n">
        <v>10</v>
      </c>
      <c r="D12" s="37" t="n">
        <v>5</v>
      </c>
      <c r="E12" s="37" t="n">
        <v>4</v>
      </c>
      <c r="F12" s="38">
        <f>C12*Assumptions!$B$5+D12*Assumptions!$B$6+E12*Assumptions!$B$7</f>
        <v/>
      </c>
      <c r="G12" s="39">
        <f>C12*Assumptions!$B$8+D12*Assumptions!$B$9+E12*Assumptions!$B$10</f>
        <v/>
      </c>
      <c r="H12" s="39">
        <f>G12/Assumptions!$B$12</f>
        <v/>
      </c>
      <c r="I12" s="35">
        <f>IF(H12&gt;Assumptions!$B$11,"OVER CAPACITY — consider help","OK")</f>
        <v/>
      </c>
    </row>
    <row r="13" ht="15" customHeight="1" s="21">
      <c r="A13" s="35" t="n">
        <v>9</v>
      </c>
      <c r="B13" s="36">
        <f>EDATE(Assumptions!$B$4,A13-1)</f>
        <v/>
      </c>
      <c r="C13" s="37" t="n">
        <v>11</v>
      </c>
      <c r="D13" s="37" t="n">
        <v>5</v>
      </c>
      <c r="E13" s="37" t="n">
        <v>5</v>
      </c>
      <c r="F13" s="38">
        <f>C13*Assumptions!$B$5+D13*Assumptions!$B$6+E13*Assumptions!$B$7</f>
        <v/>
      </c>
      <c r="G13" s="39">
        <f>C13*Assumptions!$B$8+D13*Assumptions!$B$9+E13*Assumptions!$B$10</f>
        <v/>
      </c>
      <c r="H13" s="39">
        <f>G13/Assumptions!$B$12</f>
        <v/>
      </c>
      <c r="I13" s="35">
        <f>IF(H13&gt;Assumptions!$B$11,"OVER CAPACITY — consider help","OK")</f>
        <v/>
      </c>
    </row>
    <row r="14" ht="15" customHeight="1" s="21">
      <c r="A14" s="35" t="n">
        <v>10</v>
      </c>
      <c r="B14" s="36">
        <f>EDATE(Assumptions!$B$4,A14-1)</f>
        <v/>
      </c>
      <c r="C14" s="37" t="n">
        <v>12</v>
      </c>
      <c r="D14" s="37" t="n">
        <v>6</v>
      </c>
      <c r="E14" s="37" t="n">
        <v>5</v>
      </c>
      <c r="F14" s="38">
        <f>C14*Assumptions!$B$5+D14*Assumptions!$B$6+E14*Assumptions!$B$7</f>
        <v/>
      </c>
      <c r="G14" s="39">
        <f>C14*Assumptions!$B$8+D14*Assumptions!$B$9+E14*Assumptions!$B$10</f>
        <v/>
      </c>
      <c r="H14" s="39">
        <f>G14/Assumptions!$B$12</f>
        <v/>
      </c>
      <c r="I14" s="35">
        <f>IF(H14&gt;Assumptions!$B$11,"OVER CAPACITY — consider help","OK")</f>
        <v/>
      </c>
    </row>
    <row r="15" ht="15" customHeight="1" s="21">
      <c r="A15" s="35" t="n">
        <v>11</v>
      </c>
      <c r="B15" s="36">
        <f>EDATE(Assumptions!$B$4,A15-1)</f>
        <v/>
      </c>
      <c r="C15" s="37" t="n">
        <v>12</v>
      </c>
      <c r="D15" s="37" t="n">
        <v>6</v>
      </c>
      <c r="E15" s="37" t="n">
        <v>5</v>
      </c>
      <c r="F15" s="38">
        <f>C15*Assumptions!$B$5+D15*Assumptions!$B$6+E15*Assumptions!$B$7</f>
        <v/>
      </c>
      <c r="G15" s="39">
        <f>C15*Assumptions!$B$8+D15*Assumptions!$B$9+E15*Assumptions!$B$10</f>
        <v/>
      </c>
      <c r="H15" s="39">
        <f>G15/Assumptions!$B$12</f>
        <v/>
      </c>
      <c r="I15" s="35">
        <f>IF(H15&gt;Assumptions!$B$11,"OVER CAPACITY — consider help","OK")</f>
        <v/>
      </c>
    </row>
    <row r="16" ht="15" customHeight="1" s="21">
      <c r="A16" s="35" t="n">
        <v>12</v>
      </c>
      <c r="B16" s="36">
        <f>EDATE(Assumptions!$B$4,A16-1)</f>
        <v/>
      </c>
      <c r="C16" s="37" t="n">
        <v>14</v>
      </c>
      <c r="D16" s="37" t="n">
        <v>6</v>
      </c>
      <c r="E16" s="37" t="n">
        <v>6</v>
      </c>
      <c r="F16" s="38">
        <f>C16*Assumptions!$B$5+D16*Assumptions!$B$6+E16*Assumptions!$B$7</f>
        <v/>
      </c>
      <c r="G16" s="39">
        <f>C16*Assumptions!$B$8+D16*Assumptions!$B$9+E16*Assumptions!$B$10</f>
        <v/>
      </c>
      <c r="H16" s="39">
        <f>G16/Assumptions!$B$12</f>
        <v/>
      </c>
      <c r="I16" s="35">
        <f>IF(H16&gt;Assumptions!$B$11,"OVER CAPACITY — consider help","OK")</f>
        <v/>
      </c>
    </row>
    <row r="18" ht="15" customHeight="1" s="21">
      <c r="B18" s="40" t="inlineStr">
        <is>
          <t>TOTAL</t>
        </is>
      </c>
      <c r="C18" s="40">
        <f>SUM(C5:C16)</f>
        <v/>
      </c>
      <c r="D18" s="40">
        <f>SUM(D5:D16)</f>
        <v/>
      </c>
      <c r="E18" s="40">
        <f>SUM(E5:E16)</f>
        <v/>
      </c>
      <c r="F18" s="41">
        <f>SUM(F5:F16)</f>
        <v/>
      </c>
    </row>
  </sheetData>
  <mergeCells count="1"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0" min="1" max="1"/>
    <col width="30" customWidth="1" style="20" min="2" max="2"/>
    <col width="46" customWidth="1" style="20" min="3" max="3"/>
    <col width="16" customWidth="1" style="20" min="4" max="6"/>
    <col width="12" customWidth="1" style="20" min="7" max="8"/>
    <col width="46" customWidth="1" style="20" min="9" max="9"/>
  </cols>
  <sheetData>
    <row r="1" ht="17.35" customHeight="1" s="21">
      <c r="A1" s="22" t="inlineStr">
        <is>
          <t>CharredGuard — Plan of Action &amp; Milestones (Year 1)</t>
        </is>
      </c>
    </row>
    <row r="3" ht="26.85" customHeight="1" s="21">
      <c r="A3" s="34" t="inlineStr">
        <is>
          <t>ID</t>
        </is>
      </c>
      <c r="B3" s="34" t="inlineStr">
        <is>
          <t>Phase</t>
        </is>
      </c>
      <c r="C3" s="34" t="inlineStr">
        <is>
          <t>Milestone / Action</t>
        </is>
      </c>
      <c r="D3" s="34" t="inlineStr">
        <is>
          <t>Category</t>
        </is>
      </c>
      <c r="E3" s="34" t="inlineStr">
        <is>
          <t>Target Timing</t>
        </is>
      </c>
      <c r="F3" s="34" t="inlineStr">
        <is>
          <t>Owner</t>
        </is>
      </c>
      <c r="G3" s="34" t="inlineStr">
        <is>
          <t>Depends On</t>
        </is>
      </c>
      <c r="H3" s="34" t="inlineStr">
        <is>
          <t>Status</t>
        </is>
      </c>
      <c r="I3" s="34" t="inlineStr">
        <is>
          <t>Success Criteria / Notes</t>
        </is>
      </c>
    </row>
    <row r="4" ht="15" customHeight="1" s="21">
      <c r="A4" s="64" t="inlineStr">
        <is>
          <t>0.0</t>
        </is>
      </c>
      <c r="B4" s="64" t="inlineStr">
        <is>
          <t>Phase 0 — Pre-Launch</t>
        </is>
      </c>
      <c r="C4" s="64" t="inlineStr">
        <is>
          <t>Decide operating path: (A) partner joins full-time once volume justifies it, (B) permanent part-time evenings solo, or (C) homeowner-inspections-only solo part-time (no hardening add-on)</t>
        </is>
      </c>
      <c r="D4" s="64" t="inlineStr">
        <is>
          <t>Planning</t>
        </is>
      </c>
      <c r="E4" s="64" t="inlineStr">
        <is>
          <t>Before Month 1</t>
        </is>
      </c>
      <c r="F4" s="64" t="inlineStr">
        <is>
          <t>Matt (+ partner)</t>
        </is>
      </c>
      <c r="G4" s="64" t="inlineStr">
        <is>
          <t>—</t>
        </is>
      </c>
      <c r="H4" s="64" t="inlineStr">
        <is>
          <t>Not Started</t>
        </is>
      </c>
      <c r="I4" s="64" t="inlineStr">
        <is>
          <t>Decision documented — see 'Business Model Paths' tab. Determines whether hardening-related POAM items (1.3, 2.1) and legal-risk items 1/2/5/6 are even relevant.</t>
        </is>
      </c>
    </row>
    <row r="5" ht="15" customHeight="1" s="21">
      <c r="A5" s="42" t="inlineStr">
        <is>
          <t>0.1</t>
        </is>
      </c>
      <c r="B5" s="42" t="inlineStr">
        <is>
          <t>Phase 0 — Pre-Launch</t>
        </is>
      </c>
      <c r="C5" s="42" t="inlineStr">
        <is>
          <t>Form California LLC (Articles of Organization)</t>
        </is>
      </c>
      <c r="D5" s="42" t="inlineStr">
        <is>
          <t>Legal</t>
        </is>
      </c>
      <c r="E5" s="42" t="inlineStr">
        <is>
          <t>Before Month 1</t>
        </is>
      </c>
      <c r="F5" s="42" t="inlineStr">
        <is>
          <t>Matt</t>
        </is>
      </c>
      <c r="G5" s="42" t="inlineStr">
        <is>
          <t>—</t>
        </is>
      </c>
      <c r="H5" s="42" t="inlineStr">
        <is>
          <t>Not Started</t>
        </is>
      </c>
      <c r="I5" s="42" t="inlineStr">
        <is>
          <t>LLC registered with CA Secretary of State</t>
        </is>
      </c>
    </row>
    <row r="6" ht="15" customHeight="1" s="21">
      <c r="A6" s="42" t="inlineStr">
        <is>
          <t>0.2</t>
        </is>
      </c>
      <c r="B6" s="42" t="inlineStr">
        <is>
          <t>Phase 0 — Pre-Launch</t>
        </is>
      </c>
      <c r="C6" s="42" t="inlineStr">
        <is>
          <t>Obtain EIN + open business bank account</t>
        </is>
      </c>
      <c r="D6" s="42" t="inlineStr">
        <is>
          <t>Financial</t>
        </is>
      </c>
      <c r="E6" s="42" t="inlineStr">
        <is>
          <t>Before Month 1</t>
        </is>
      </c>
      <c r="F6" s="42" t="inlineStr">
        <is>
          <t>Matt</t>
        </is>
      </c>
      <c r="G6" s="42" t="inlineStr">
        <is>
          <t>0.1</t>
        </is>
      </c>
      <c r="H6" s="42" t="inlineStr">
        <is>
          <t>Not Started</t>
        </is>
      </c>
      <c r="I6" s="42" t="inlineStr">
        <is>
          <t>EIN issued, account open</t>
        </is>
      </c>
    </row>
    <row r="7" ht="39.55" customHeight="1" s="21">
      <c r="A7" s="42" t="inlineStr">
        <is>
          <t>0.3</t>
        </is>
      </c>
      <c r="B7" s="42" t="inlineStr">
        <is>
          <t>Phase 0 — Pre-Launch</t>
        </is>
      </c>
      <c r="C7" s="42" t="inlineStr">
        <is>
          <t>Bind combined GL + E&amp;O insurance policy</t>
        </is>
      </c>
      <c r="D7" s="42" t="inlineStr">
        <is>
          <t>Legal/Risk</t>
        </is>
      </c>
      <c r="E7" s="42" t="inlineStr">
        <is>
          <t>Before Month 1</t>
        </is>
      </c>
      <c r="F7" s="42" t="inlineStr">
        <is>
          <t>Matt</t>
        </is>
      </c>
      <c r="G7" s="42" t="inlineStr">
        <is>
          <t>0.1</t>
        </is>
      </c>
      <c r="H7" s="42" t="inlineStr">
        <is>
          <t>Not Started</t>
        </is>
      </c>
      <c r="I7" s="42" t="inlineStr">
        <is>
          <t>Policy active, ~$145/mo confirmed</t>
        </is>
      </c>
    </row>
    <row r="8" ht="39.55" customHeight="1" s="21">
      <c r="A8" s="42" t="inlineStr">
        <is>
          <t>0.4</t>
        </is>
      </c>
      <c r="B8" s="42" t="inlineStr">
        <is>
          <t>Phase 0 — Pre-Launch</t>
        </is>
      </c>
      <c r="C8" s="42" t="inlineStr">
        <is>
          <t>Attorney review of Inspection Agreement, Minor Work Contract, Liability Waiver (Section 9 templates)</t>
        </is>
      </c>
      <c r="D8" s="42" t="inlineStr">
        <is>
          <t>Legal</t>
        </is>
      </c>
      <c r="E8" s="42" t="inlineStr">
        <is>
          <t>Before Month 1</t>
        </is>
      </c>
      <c r="F8" s="42" t="inlineStr">
        <is>
          <t>Matt + CA attorney</t>
        </is>
      </c>
      <c r="G8" s="42" t="inlineStr">
        <is>
          <t>—</t>
        </is>
      </c>
      <c r="H8" s="42" t="inlineStr">
        <is>
          <t>Not Started</t>
        </is>
      </c>
      <c r="I8" s="42" t="inlineStr">
        <is>
          <t>Written sign-off before any client signs a contract</t>
        </is>
      </c>
    </row>
    <row r="9" ht="52.2" customHeight="1" s="21">
      <c r="A9" s="42" t="inlineStr">
        <is>
          <t>0.5</t>
        </is>
      </c>
      <c r="B9" s="42" t="inlineStr">
        <is>
          <t>Phase 0 — Pre-Launch</t>
        </is>
      </c>
      <c r="C9" s="42" t="inlineStr">
        <is>
          <t>Confirm hardening-work permit requirements per target city (Carlsbad, Escondido, Fallbrook, Ramona, Coto de Caza, Silverado Canyon, etc.)</t>
        </is>
      </c>
      <c r="D9" s="42" t="inlineStr">
        <is>
          <t>Legal/Compliance</t>
        </is>
      </c>
      <c r="E9" s="42" t="inlineStr">
        <is>
          <t>Before Month 1</t>
        </is>
      </c>
      <c r="F9" s="42" t="inlineStr">
        <is>
          <t>Matt</t>
        </is>
      </c>
      <c r="G9" s="42" t="inlineStr">
        <is>
          <t>—</t>
        </is>
      </c>
      <c r="H9" s="42" t="inlineStr">
        <is>
          <t>Not Started</t>
        </is>
      </c>
      <c r="I9" s="42" t="inlineStr">
        <is>
          <t>B&amp;P §7048 exemption requires NO permit — verify per city before offering hardening add-on</t>
        </is>
      </c>
    </row>
    <row r="10" ht="15" customHeight="1" s="21">
      <c r="A10" s="42" t="inlineStr">
        <is>
          <t>0.6</t>
        </is>
      </c>
      <c r="B10" s="42" t="inlineStr">
        <is>
          <t>Phase 0 — Pre-Launch</t>
        </is>
      </c>
      <c r="C10" s="42" t="inlineStr">
        <is>
          <t>Confirm marketing/signage won't count as 'holding out as a contractor' under B&amp;P §7048</t>
        </is>
      </c>
      <c r="D10" s="42" t="inlineStr">
        <is>
          <t>Legal</t>
        </is>
      </c>
      <c r="E10" s="42" t="inlineStr">
        <is>
          <t>Before Month 1</t>
        </is>
      </c>
      <c r="F10" s="42" t="inlineStr">
        <is>
          <t>Matt + CA attorney</t>
        </is>
      </c>
      <c r="G10" s="42" t="inlineStr">
        <is>
          <t>—</t>
        </is>
      </c>
      <c r="H10" s="42" t="inlineStr">
        <is>
          <t>Not Started</t>
        </is>
      </c>
      <c r="I10" s="42" t="inlineStr">
        <is>
          <t>Flagged risk: worksite banners + hardening-focused branding could void the minor-work exemption — get explicit guidance before Phase 2 signage/marketing</t>
        </is>
      </c>
    </row>
    <row r="11" ht="26.85" customHeight="1" s="21">
      <c r="A11" s="42" t="inlineStr">
        <is>
          <t>0.7</t>
        </is>
      </c>
      <c r="B11" s="42" t="inlineStr">
        <is>
          <t>Phase 0 — Pre-Launch</t>
        </is>
      </c>
      <c r="C11" s="42" t="inlineStr">
        <is>
          <t>Begin NFPA CWMS certification study</t>
        </is>
      </c>
      <c r="D11" s="42" t="inlineStr">
        <is>
          <t>Certification</t>
        </is>
      </c>
      <c r="E11" s="42" t="inlineStr">
        <is>
          <t>Before Month 1</t>
        </is>
      </c>
      <c r="F11" s="42" t="inlineStr">
        <is>
          <t>Matt</t>
        </is>
      </c>
      <c r="G11" s="42" t="inlineStr">
        <is>
          <t>—</t>
        </is>
      </c>
      <c r="H11" s="42" t="inlineStr">
        <is>
          <t>Not Started</t>
        </is>
      </c>
      <c r="I11" s="42" t="inlineStr">
        <is>
          <t>Exam scheduled</t>
        </is>
      </c>
    </row>
    <row r="12" ht="26.85" customHeight="1" s="21">
      <c r="A12" s="42" t="inlineStr">
        <is>
          <t>0.8</t>
        </is>
      </c>
      <c r="B12" s="42" t="inlineStr">
        <is>
          <t>Phase 0 — Pre-Launch</t>
        </is>
      </c>
      <c r="C12" s="42" t="inlineStr">
        <is>
          <t>Website live with correct pricing ($500/$200) and SoCal geography</t>
        </is>
      </c>
      <c r="D12" s="42" t="inlineStr">
        <is>
          <t>Marketing</t>
        </is>
      </c>
      <c r="E12" s="42" t="inlineStr">
        <is>
          <t>Before Month 1</t>
        </is>
      </c>
      <c r="F12" s="42" t="inlineStr">
        <is>
          <t>Matt</t>
        </is>
      </c>
      <c r="G12" s="42" t="inlineStr">
        <is>
          <t>—</t>
        </is>
      </c>
      <c r="H12" s="43" t="inlineStr">
        <is>
          <t>Done</t>
        </is>
      </c>
      <c r="I12" s="42" t="inlineStr">
        <is>
          <t>Completed — charred-guard-site updated</t>
        </is>
      </c>
    </row>
    <row r="13" ht="26.85" customHeight="1" s="21">
      <c r="A13" s="42" t="inlineStr">
        <is>
          <t>1.1</t>
        </is>
      </c>
      <c r="B13" s="42" t="inlineStr">
        <is>
          <t>Phase 1 — Audit-Only Launch (M1-3)</t>
        </is>
      </c>
      <c r="C13" s="42" t="inlineStr">
        <is>
          <t>Deliver first paid on-site audit</t>
        </is>
      </c>
      <c r="D13" s="42" t="inlineStr">
        <is>
          <t>Ops</t>
        </is>
      </c>
      <c r="E13" s="42" t="inlineStr">
        <is>
          <t>Month 1</t>
        </is>
      </c>
      <c r="F13" s="42" t="inlineStr">
        <is>
          <t>Matt</t>
        </is>
      </c>
      <c r="G13" s="42" t="inlineStr">
        <is>
          <t>0.1-0.4</t>
        </is>
      </c>
      <c r="H13" s="42" t="inlineStr">
        <is>
          <t>Not Started</t>
        </is>
      </c>
      <c r="I13" s="42" t="inlineStr">
        <is>
          <t>First $500 invoice paid</t>
        </is>
      </c>
    </row>
    <row r="14" ht="26.85" customHeight="1" s="21">
      <c r="A14" s="42" t="inlineStr">
        <is>
          <t>1.2</t>
        </is>
      </c>
      <c r="B14" s="42" t="inlineStr">
        <is>
          <t>Phase 1 — Audit-Only Launch (M1-3)</t>
        </is>
      </c>
      <c r="C14" s="42" t="inlineStr">
        <is>
          <t>Deliver first guided self-inspection</t>
        </is>
      </c>
      <c r="D14" s="42" t="inlineStr">
        <is>
          <t>Ops</t>
        </is>
      </c>
      <c r="E14" s="42" t="inlineStr">
        <is>
          <t>Month 1</t>
        </is>
      </c>
      <c r="F14" s="42" t="inlineStr">
        <is>
          <t>Matt</t>
        </is>
      </c>
      <c r="G14" s="42" t="inlineStr">
        <is>
          <t>0.1-0.4</t>
        </is>
      </c>
      <c r="H14" s="42" t="inlineStr">
        <is>
          <t>Not Started</t>
        </is>
      </c>
      <c r="I14" s="42" t="inlineStr">
        <is>
          <t>First $200 invoice paid</t>
        </is>
      </c>
    </row>
    <row r="15" ht="26.85" customHeight="1" s="21">
      <c r="A15" s="42" t="inlineStr">
        <is>
          <t>1.3</t>
        </is>
      </c>
      <c r="B15" s="42" t="inlineStr">
        <is>
          <t>Phase 1 — Audit-Only Launch (M1-3)</t>
        </is>
      </c>
      <c r="C15" s="42" t="inlineStr">
        <is>
          <t>Hold hardening add-on revenue until 0.5 and 0.6 are cleared</t>
        </is>
      </c>
      <c r="D15" s="42" t="inlineStr">
        <is>
          <t>Legal gate</t>
        </is>
      </c>
      <c r="E15" s="42" t="inlineStr">
        <is>
          <t>Months 1-3</t>
        </is>
      </c>
      <c r="F15" s="42" t="inlineStr">
        <is>
          <t>Matt</t>
        </is>
      </c>
      <c r="G15" s="42" t="inlineStr">
        <is>
          <t>0.5, 0.6</t>
        </is>
      </c>
      <c r="H15" s="42" t="inlineStr">
        <is>
          <t>Not Started</t>
        </is>
      </c>
      <c r="I15" s="42" t="inlineStr">
        <is>
          <t>Do not sell hardening work until permit + advertising questions are resolved in writing</t>
        </is>
      </c>
    </row>
    <row r="16" ht="26.85" customHeight="1" s="21">
      <c r="A16" s="42" t="inlineStr">
        <is>
          <t>1.4</t>
        </is>
      </c>
      <c r="B16" s="42" t="inlineStr">
        <is>
          <t>Phase 1 — Audit-Only Launch (M1-3)</t>
        </is>
      </c>
      <c r="C16" s="42" t="inlineStr">
        <is>
          <t>Reach monthly break-even (~$248 revenue covers fixed overhead)</t>
        </is>
      </c>
      <c r="D16" s="42" t="inlineStr">
        <is>
          <t>Financial</t>
        </is>
      </c>
      <c r="E16" s="42" t="inlineStr">
        <is>
          <t>Month 3</t>
        </is>
      </c>
      <c r="F16" s="42" t="inlineStr">
        <is>
          <t>Matt</t>
        </is>
      </c>
      <c r="G16" s="42" t="inlineStr">
        <is>
          <t>1.1, 1.2</t>
        </is>
      </c>
      <c r="H16" s="42" t="inlineStr">
        <is>
          <t>Not Started</t>
        </is>
      </c>
      <c r="I16" s="42" t="inlineStr">
        <is>
          <t>See business plan §7.3</t>
        </is>
      </c>
    </row>
    <row r="17" ht="26.85" customHeight="1" s="21">
      <c r="A17" s="42" t="inlineStr">
        <is>
          <t>1.5</t>
        </is>
      </c>
      <c r="B17" s="42" t="inlineStr">
        <is>
          <t>Phase 1 — Audit-Only Launch (M1-3)</t>
        </is>
      </c>
      <c r="C17" s="42" t="inlineStr">
        <is>
          <t>First conversation with a local independent insurance broker or realtor</t>
        </is>
      </c>
      <c r="D17" s="42" t="inlineStr">
        <is>
          <t>B2B/Marketing</t>
        </is>
      </c>
      <c r="E17" s="42" t="inlineStr">
        <is>
          <t>Months 1-3</t>
        </is>
      </c>
      <c r="F17" s="42" t="inlineStr">
        <is>
          <t>Matt</t>
        </is>
      </c>
      <c r="G17" s="42" t="inlineStr">
        <is>
          <t>—</t>
        </is>
      </c>
      <c r="H17" s="42" t="inlineStr">
        <is>
          <t>Not Started</t>
        </is>
      </c>
      <c r="I17" s="42" t="inlineStr">
        <is>
          <t>Relationship opened, not necessarily signed</t>
        </is>
      </c>
    </row>
    <row r="18" ht="26.85" customHeight="1" s="21">
      <c r="A18" s="42" t="inlineStr">
        <is>
          <t>2.1</t>
        </is>
      </c>
      <c r="B18" s="42" t="inlineStr">
        <is>
          <t>Phase 2 — Hardening Launch &amp; Marketing Scale (M4-6)</t>
        </is>
      </c>
      <c r="C18" s="42" t="inlineStr">
        <is>
          <t>Turn on hardening add-on revenue</t>
        </is>
      </c>
      <c r="D18" s="42" t="inlineStr">
        <is>
          <t>Ops/Legal</t>
        </is>
      </c>
      <c r="E18" s="42" t="inlineStr">
        <is>
          <t>Month 4</t>
        </is>
      </c>
      <c r="F18" s="42" t="inlineStr">
        <is>
          <t>Matt</t>
        </is>
      </c>
      <c r="G18" s="42" t="inlineStr">
        <is>
          <t>1.3</t>
        </is>
      </c>
      <c r="H18" s="42" t="inlineStr">
        <is>
          <t>Not Started</t>
        </is>
      </c>
      <c r="I18" s="42" t="inlineStr">
        <is>
          <t>Only after 0.5 and 0.6 are formally cleared</t>
        </is>
      </c>
    </row>
    <row r="19" ht="26.85" customHeight="1" s="21">
      <c r="A19" s="42" t="inlineStr">
        <is>
          <t>2.2</t>
        </is>
      </c>
      <c r="B19" s="42" t="inlineStr">
        <is>
          <t>Phase 2 — Hardening Launch &amp; Marketing Scale (M4-6)</t>
        </is>
      </c>
      <c r="C19" s="42" t="inlineStr">
        <is>
          <t>Launch Nextdoor Verified Sponsorship in 2-3 target ZIP codes</t>
        </is>
      </c>
      <c r="D19" s="42" t="inlineStr">
        <is>
          <t>Marketing</t>
        </is>
      </c>
      <c r="E19" s="42" t="inlineStr">
        <is>
          <t>Month 4</t>
        </is>
      </c>
      <c r="F19" s="42" t="inlineStr">
        <is>
          <t>Matt</t>
        </is>
      </c>
      <c r="G19" s="42" t="inlineStr">
        <is>
          <t>0.6</t>
        </is>
      </c>
      <c r="H19" s="42" t="inlineStr">
        <is>
          <t>Not Started</t>
        </is>
      </c>
      <c r="I19" s="42" t="inlineStr">
        <is>
          <t>Sponsorship live</t>
        </is>
      </c>
    </row>
    <row r="20" ht="26.85" customHeight="1" s="21">
      <c r="A20" s="42" t="inlineStr">
        <is>
          <t>2.3</t>
        </is>
      </c>
      <c r="B20" s="42" t="inlineStr">
        <is>
          <t>Phase 2 — Hardening Launch &amp; Marketing Scale (M4-6)</t>
        </is>
      </c>
      <c r="C20" s="42" t="inlineStr">
        <is>
          <t>Deliver first HOA or Fire Safe Council presentation</t>
        </is>
      </c>
      <c r="D20" s="42" t="inlineStr">
        <is>
          <t>Marketing</t>
        </is>
      </c>
      <c r="E20" s="42" t="inlineStr">
        <is>
          <t>Months 4-6</t>
        </is>
      </c>
      <c r="F20" s="42" t="inlineStr">
        <is>
          <t>Matt</t>
        </is>
      </c>
      <c r="G20" s="42" t="inlineStr">
        <is>
          <t>—</t>
        </is>
      </c>
      <c r="H20" s="42" t="inlineStr">
        <is>
          <t>Not Started</t>
        </is>
      </c>
      <c r="I20" s="42" t="inlineStr">
        <is>
          <t>Presentation delivered</t>
        </is>
      </c>
    </row>
    <row r="21" ht="26.85" customHeight="1" s="21">
      <c r="A21" s="42" t="inlineStr">
        <is>
          <t>2.4</t>
        </is>
      </c>
      <c r="B21" s="42" t="inlineStr">
        <is>
          <t>Phase 2 — Hardening Launch &amp; Marketing Scale (M4-6)</t>
        </is>
      </c>
      <c r="C21" s="42" t="inlineStr">
        <is>
          <t>NFPA CWMS certification achieved</t>
        </is>
      </c>
      <c r="D21" s="42" t="inlineStr">
        <is>
          <t>Certification</t>
        </is>
      </c>
      <c r="E21" s="42" t="inlineStr">
        <is>
          <t>Months 4-6</t>
        </is>
      </c>
      <c r="F21" s="42" t="inlineStr">
        <is>
          <t>Matt</t>
        </is>
      </c>
      <c r="G21" s="42" t="inlineStr">
        <is>
          <t>0.7</t>
        </is>
      </c>
      <c r="H21" s="42" t="inlineStr">
        <is>
          <t>Not Started</t>
        </is>
      </c>
      <c r="I21" s="42" t="inlineStr">
        <is>
          <t>Trigger: add certification badge + trust stats to website</t>
        </is>
      </c>
    </row>
    <row r="22" ht="26.85" customHeight="1" s="21">
      <c r="A22" s="42" t="inlineStr">
        <is>
          <t>2.5</t>
        </is>
      </c>
      <c r="B22" s="42" t="inlineStr">
        <is>
          <t>Phase 2 — Hardening Launch &amp; Marketing Scale (M4-6)</t>
        </is>
      </c>
      <c r="C22" s="42" t="inlineStr">
        <is>
          <t>First capacity check-in using Growth Curve sheet</t>
        </is>
      </c>
      <c r="D22" s="42" t="inlineStr">
        <is>
          <t>Ops</t>
        </is>
      </c>
      <c r="E22" s="42" t="inlineStr">
        <is>
          <t>Month 6</t>
        </is>
      </c>
      <c r="F22" s="42" t="inlineStr">
        <is>
          <t>Matt</t>
        </is>
      </c>
      <c r="G22" s="42" t="inlineStr">
        <is>
          <t>—</t>
        </is>
      </c>
      <c r="H22" s="42" t="inlineStr">
        <is>
          <t>Not Started</t>
        </is>
      </c>
      <c r="I22" s="42" t="inlineStr">
        <is>
          <t>Confirm Hours/Week is still under the sustainable threshold</t>
        </is>
      </c>
    </row>
    <row r="23" ht="26.85" customHeight="1" s="21">
      <c r="A23" s="42" t="inlineStr">
        <is>
          <t>3.1</t>
        </is>
      </c>
      <c r="B23" s="42" t="inlineStr">
        <is>
          <t>Phase 3 — Partnerships &amp; Capacity Checkpoint (M7-9)</t>
        </is>
      </c>
      <c r="C23" s="42" t="inlineStr">
        <is>
          <t>Signed referral agreement with 1+ insurance broker</t>
        </is>
      </c>
      <c r="D23" s="42" t="inlineStr">
        <is>
          <t>B2B</t>
        </is>
      </c>
      <c r="E23" s="42" t="inlineStr">
        <is>
          <t>Months 7-9</t>
        </is>
      </c>
      <c r="F23" s="42" t="inlineStr">
        <is>
          <t>Matt</t>
        </is>
      </c>
      <c r="G23" s="42" t="inlineStr">
        <is>
          <t>1.5</t>
        </is>
      </c>
      <c r="H23" s="42" t="inlineStr">
        <is>
          <t>Not Started</t>
        </is>
      </c>
      <c r="I23" s="42" t="inlineStr">
        <is>
          <t>Signed agreement or MOU</t>
        </is>
      </c>
    </row>
    <row r="24" ht="39.55" customHeight="1" s="21">
      <c r="A24" s="42" t="inlineStr">
        <is>
          <t>3.2</t>
        </is>
      </c>
      <c r="B24" s="42" t="inlineStr">
        <is>
          <t>Phase 3 — Partnerships &amp; Capacity Checkpoint (M7-9)</t>
        </is>
      </c>
      <c r="C24" s="42" t="inlineStr">
        <is>
          <t>Formal referral relationship with 1+ real estate agent (AB-38 angle)</t>
        </is>
      </c>
      <c r="D24" s="42" t="inlineStr">
        <is>
          <t>B2B</t>
        </is>
      </c>
      <c r="E24" s="42" t="inlineStr">
        <is>
          <t>Months 7-9</t>
        </is>
      </c>
      <c r="F24" s="42" t="inlineStr">
        <is>
          <t>Matt</t>
        </is>
      </c>
      <c r="G24" s="42" t="inlineStr">
        <is>
          <t>1.5</t>
        </is>
      </c>
      <c r="H24" s="42" t="inlineStr">
        <is>
          <t>Not Started</t>
        </is>
      </c>
      <c r="I24" s="42" t="inlineStr">
        <is>
          <t>Signed agreement or MOU</t>
        </is>
      </c>
    </row>
    <row r="25" ht="26.85" customHeight="1" s="21">
      <c r="A25" s="42" t="inlineStr">
        <is>
          <t>3.3</t>
        </is>
      </c>
      <c r="B25" s="42" t="inlineStr">
        <is>
          <t>Phase 3 — Partnerships &amp; Capacity Checkpoint (M7-9)</t>
        </is>
      </c>
      <c r="C25" s="42" t="inlineStr">
        <is>
          <t>Capacity decision: bring on part-time help if Growth Curve sheet shows Hours/Week over threshold</t>
        </is>
      </c>
      <c r="D25" s="42" t="inlineStr">
        <is>
          <t>Hiring</t>
        </is>
      </c>
      <c r="E25" s="42" t="inlineStr">
        <is>
          <t>Months 7-9</t>
        </is>
      </c>
      <c r="F25" s="42" t="inlineStr">
        <is>
          <t>Matt</t>
        </is>
      </c>
      <c r="G25" s="42" t="inlineStr">
        <is>
          <t>2.5</t>
        </is>
      </c>
      <c r="H25" s="42" t="inlineStr">
        <is>
          <t>Not Started</t>
        </is>
      </c>
      <c r="I25" s="42" t="inlineStr">
        <is>
          <t>Decision documented either way — field assistant for hardening installs, or admin/VA for CRM &amp; scheduling</t>
        </is>
      </c>
    </row>
    <row r="26" ht="39.55" customHeight="1" s="21">
      <c r="A26" s="42" t="inlineStr">
        <is>
          <t>3.4</t>
        </is>
      </c>
      <c r="B26" s="42" t="inlineStr">
        <is>
          <t>Phase 3 — Partnerships &amp; Capacity Checkpoint (M7-9)</t>
        </is>
      </c>
      <c r="C26" s="42" t="inlineStr">
        <is>
          <t>Add a business phone number to the site</t>
        </is>
      </c>
      <c r="D26" s="42" t="inlineStr">
        <is>
          <t>Marketing</t>
        </is>
      </c>
      <c r="E26" s="42" t="inlineStr">
        <is>
          <t>Months 7-9</t>
        </is>
      </c>
      <c r="F26" s="42" t="inlineStr">
        <is>
          <t>Matt</t>
        </is>
      </c>
      <c r="G26" s="42" t="inlineStr">
        <is>
          <t>—</t>
        </is>
      </c>
      <c r="H26" s="42" t="inlineStr">
        <is>
          <t>Not Started</t>
        </is>
      </c>
      <c r="I26" s="42" t="inlineStr">
        <is>
          <t>Flagged in earlier competitive review</t>
        </is>
      </c>
    </row>
    <row r="27" ht="26.85" customHeight="1" s="21">
      <c r="A27" s="42" t="inlineStr">
        <is>
          <t>4.1</t>
        </is>
      </c>
      <c r="B27" s="42" t="inlineStr">
        <is>
          <t>Phase 4 — Scale &amp; Year 2 Planning (M10-12)</t>
        </is>
      </c>
      <c r="C27" s="42" t="inlineStr">
        <is>
          <t>Reassess whether hardening volume still fits the $1,000 minor-work exemption, or whether a specialty contractor license makes sense</t>
        </is>
      </c>
      <c r="D27" s="42" t="inlineStr">
        <is>
          <t>Legal/Ops</t>
        </is>
      </c>
      <c r="E27" s="42" t="inlineStr">
        <is>
          <t>Months 10-12</t>
        </is>
      </c>
      <c r="F27" s="42" t="inlineStr">
        <is>
          <t>Matt</t>
        </is>
      </c>
      <c r="G27" s="42" t="inlineStr">
        <is>
          <t>3.3</t>
        </is>
      </c>
      <c r="H27" s="42" t="inlineStr">
        <is>
          <t>Not Started</t>
        </is>
      </c>
      <c r="I27" s="42" t="inlineStr">
        <is>
          <t>Written decision + attorney check-in if volume grew</t>
        </is>
      </c>
    </row>
    <row r="28" ht="26.85" customHeight="1" s="21">
      <c r="A28" s="42" t="inlineStr">
        <is>
          <t>4.2</t>
        </is>
      </c>
      <c r="B28" s="42" t="inlineStr">
        <is>
          <t>Phase 4 — Scale &amp; Year 2 Planning (M10-12)</t>
        </is>
      </c>
      <c r="C28" s="42" t="inlineStr">
        <is>
          <t>Evaluate hiring a second inspector/technician</t>
        </is>
      </c>
      <c r="D28" s="42" t="inlineStr">
        <is>
          <t>Hiring</t>
        </is>
      </c>
      <c r="E28" s="42" t="inlineStr">
        <is>
          <t>Months 10-12</t>
        </is>
      </c>
      <c r="F28" s="42" t="inlineStr">
        <is>
          <t>Matt</t>
        </is>
      </c>
      <c r="G28" s="42" t="inlineStr">
        <is>
          <t>3.3</t>
        </is>
      </c>
      <c r="H28" s="42" t="inlineStr">
        <is>
          <t>Not Started</t>
        </is>
      </c>
      <c r="I28" s="42" t="inlineStr">
        <is>
          <t>Decision documented</t>
        </is>
      </c>
    </row>
    <row r="29" ht="26.85" customHeight="1" s="21">
      <c r="A29" s="42" t="inlineStr">
        <is>
          <t>4.3</t>
        </is>
      </c>
      <c r="B29" s="42" t="inlineStr">
        <is>
          <t>Phase 4 — Scale &amp; Year 2 Planning (M10-12)</t>
        </is>
      </c>
      <c r="C29" s="42" t="inlineStr">
        <is>
          <t>Full-year financials reviewed against Year-1 projections</t>
        </is>
      </c>
      <c r="D29" s="42" t="inlineStr">
        <is>
          <t>Financial</t>
        </is>
      </c>
      <c r="E29" s="42" t="inlineStr">
        <is>
          <t>Month 12</t>
        </is>
      </c>
      <c r="F29" s="42" t="inlineStr">
        <is>
          <t>Matt</t>
        </is>
      </c>
      <c r="G29" s="42" t="inlineStr">
        <is>
          <t>—</t>
        </is>
      </c>
      <c r="H29" s="42" t="inlineStr">
        <is>
          <t>Not Started</t>
        </is>
      </c>
      <c r="I29" s="42" t="inlineStr">
        <is>
          <t>Actuals vs. plan variance noted</t>
        </is>
      </c>
    </row>
    <row r="30">
      <c r="A30" s="42" t="inlineStr">
        <is>
          <t>4.4</t>
        </is>
      </c>
      <c r="B30" s="42" t="inlineStr">
        <is>
          <t>Phase 4 — Scale &amp; Year 2 Planning (M10-12)</t>
        </is>
      </c>
      <c r="C30" s="42" t="inlineStr">
        <is>
          <t>Draft Year 2 plan and budget</t>
        </is>
      </c>
      <c r="D30" s="42" t="inlineStr">
        <is>
          <t>Planning</t>
        </is>
      </c>
      <c r="E30" s="42" t="inlineStr">
        <is>
          <t>Month 12</t>
        </is>
      </c>
      <c r="F30" s="42" t="inlineStr">
        <is>
          <t>Matt</t>
        </is>
      </c>
      <c r="G30" s="42" t="inlineStr">
        <is>
          <t>4.3</t>
        </is>
      </c>
      <c r="H30" s="42" t="inlineStr">
        <is>
          <t>Not Started</t>
        </is>
      </c>
      <c r="I30" s="42" t="inlineStr">
        <is>
          <t>Year 2 document drafted</t>
        </is>
      </c>
    </row>
  </sheetData>
  <mergeCells count="1">
    <mergeCell ref="A1:I1"/>
  </mergeCells>
  <dataValidations count="2">
    <dataValidation sqref="H4:H29" showDropDown="0" showInputMessage="0" showErrorMessage="0" allowBlank="0" type="list" errorStyle="stop" operator="between">
      <formula1>"Not Started,In Progress,Blocked,Done"</formula1>
      <formula2>0</formula2>
    </dataValidation>
    <dataValidation sqref="H4" showDropDown="0" showInputMessage="0" showErrorMessage="0" allowBlank="0" type="list">
      <formula1>"Not Started,In Progress,Blocked,Done"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21" min="1" max="1"/>
    <col width="12" customWidth="1" style="21" min="2" max="2"/>
    <col width="11" customWidth="1" style="21" min="3" max="3"/>
    <col width="11" customWidth="1" style="21" min="4" max="4"/>
    <col width="11" customWidth="1" style="21" min="5" max="5"/>
    <col width="11" customWidth="1" style="21" min="6" max="6"/>
    <col width="11" customWidth="1" style="21" min="7" max="7"/>
    <col width="3" customWidth="1" style="21" min="8" max="8"/>
    <col width="11" customWidth="1" style="21" min="9" max="9"/>
    <col width="11" customWidth="1" style="21" min="10" max="10"/>
    <col width="11" customWidth="1" style="21" min="11" max="11"/>
    <col width="11" customWidth="1" style="21" min="12" max="12"/>
    <col width="11" customWidth="1" style="21" min="13" max="13"/>
    <col width="3" customWidth="1" style="21" min="14" max="14"/>
    <col width="11" customWidth="1" style="21" min="15" max="15"/>
    <col width="11" customWidth="1" style="21" min="16" max="16"/>
    <col width="11" customWidth="1" style="21" min="17" max="17"/>
    <col width="11" customWidth="1" style="21" min="18" max="18"/>
    <col width="11" customWidth="1" style="21" min="19" max="19"/>
    <col width="3" customWidth="1" style="21" min="20" max="20"/>
  </cols>
  <sheetData>
    <row r="1">
      <c r="A1" s="44" t="inlineStr">
        <is>
          <t>Which Path — Partner Joins Full-Time / Part-Time Evenings / Homeowner-Only</t>
        </is>
      </c>
    </row>
    <row r="2" ht="26" customHeight="1" s="21">
      <c r="A2" s="45" t="inlineStr">
        <is>
          <t>Audits / Self / Hardening are editable per-path inputs (blue) — each path has a genuinely different volume story, not just a multiplier. Revenue, Hours/Week, and Capacity are formulas that recalc from the Assumptions tab.</t>
        </is>
      </c>
    </row>
    <row r="4">
      <c r="C4" s="65" t="inlineStr">
        <is>
          <t>A — PARTNER JOINS FULL-TIME</t>
        </is>
      </c>
      <c r="I4" s="65" t="inlineStr">
        <is>
          <t>B — PART-TIME EVENINGS (SOLO, INDEFINITELY)</t>
        </is>
      </c>
      <c r="O4" s="65" t="inlineStr">
        <is>
          <t>C — HOMEOWNER INSPECTIONS ONLY (SOLO, PART-TIME, NO HARDENING)</t>
        </is>
      </c>
    </row>
    <row r="5">
      <c r="A5" s="47" t="inlineStr">
        <is>
          <t>Month #</t>
        </is>
      </c>
      <c r="B5" s="47" t="inlineStr">
        <is>
          <t>Target Month</t>
        </is>
      </c>
      <c r="C5" s="66" t="inlineStr">
        <is>
          <t>Audits</t>
        </is>
      </c>
      <c r="D5" s="66" t="inlineStr">
        <is>
          <t>Self</t>
        </is>
      </c>
      <c r="E5" s="66" t="inlineStr">
        <is>
          <t>Hardening</t>
        </is>
      </c>
      <c r="F5" s="66" t="inlineStr">
        <is>
          <t>Revenue ($)</t>
        </is>
      </c>
      <c r="G5" s="66" t="inlineStr">
        <is>
          <t>Hrs/Wk</t>
        </is>
      </c>
      <c r="I5" s="67" t="inlineStr">
        <is>
          <t>Audits</t>
        </is>
      </c>
      <c r="J5" s="67" t="inlineStr">
        <is>
          <t>Self</t>
        </is>
      </c>
      <c r="K5" s="67" t="inlineStr">
        <is>
          <t>Hardening</t>
        </is>
      </c>
      <c r="L5" s="67" t="inlineStr">
        <is>
          <t>Revenue ($)</t>
        </is>
      </c>
      <c r="M5" s="67" t="inlineStr">
        <is>
          <t>Hrs/Wk</t>
        </is>
      </c>
      <c r="O5" s="68" t="inlineStr">
        <is>
          <t>Audits</t>
        </is>
      </c>
      <c r="P5" s="68" t="inlineStr">
        <is>
          <t>Self</t>
        </is>
      </c>
      <c r="Q5" s="68" t="inlineStr">
        <is>
          <t>Hardening</t>
        </is>
      </c>
      <c r="R5" s="68" t="inlineStr">
        <is>
          <t>Revenue ($)</t>
        </is>
      </c>
      <c r="S5" s="68" t="inlineStr">
        <is>
          <t>Hrs/Wk</t>
        </is>
      </c>
    </row>
    <row r="6">
      <c r="A6" s="30" t="n">
        <v>1</v>
      </c>
      <c r="B6" s="69">
        <f>'Growth Curve'!B5</f>
        <v/>
      </c>
      <c r="C6" s="70" t="n">
        <v>1</v>
      </c>
      <c r="D6" s="70" t="n">
        <v>1</v>
      </c>
      <c r="E6" s="70" t="n">
        <v>0</v>
      </c>
      <c r="F6" s="71">
        <f>C6*Assumptions!$B$5+D6*Assumptions!$B$6+E6*Assumptions!$B$7</f>
        <v/>
      </c>
      <c r="G6" s="72">
        <f>(C6*Assumptions!$B$8+D6*Assumptions!$B$9+E6*Assumptions!$B$10)/Assumptions!$B$12</f>
        <v/>
      </c>
      <c r="I6" s="70" t="n">
        <v>1</v>
      </c>
      <c r="J6" s="70" t="n">
        <v>1</v>
      </c>
      <c r="K6" s="70" t="n">
        <v>0</v>
      </c>
      <c r="L6" s="71">
        <f>I6*Assumptions!$B$5+J6*Assumptions!$B$6+K6*Assumptions!$B$7</f>
        <v/>
      </c>
      <c r="M6" s="72">
        <f>(I6*Assumptions!$B$8+J6*Assumptions!$B$9+K6*Assumptions!$B$10)/Assumptions!$B$12</f>
        <v/>
      </c>
      <c r="O6" s="70" t="n">
        <v>1</v>
      </c>
      <c r="P6" s="70" t="n">
        <v>1</v>
      </c>
      <c r="Q6" s="70" t="n">
        <v>0</v>
      </c>
      <c r="R6" s="71">
        <f>O6*Assumptions!$B$5+P6*Assumptions!$B$6+Q6*Assumptions!$B$7</f>
        <v/>
      </c>
      <c r="S6" s="72">
        <f>(O6*Assumptions!$B$8+P6*Assumptions!$B$9+Q6*Assumptions!$B$10)/Assumptions!$B$12</f>
        <v/>
      </c>
    </row>
    <row r="7">
      <c r="A7" s="30" t="n">
        <v>2</v>
      </c>
      <c r="B7" s="69">
        <f>'Growth Curve'!B6</f>
        <v/>
      </c>
      <c r="C7" s="70" t="n">
        <v>2</v>
      </c>
      <c r="D7" s="70" t="n">
        <v>1</v>
      </c>
      <c r="E7" s="70" t="n">
        <v>0</v>
      </c>
      <c r="F7" s="71">
        <f>C7*Assumptions!$B$5+D7*Assumptions!$B$6+E7*Assumptions!$B$7</f>
        <v/>
      </c>
      <c r="G7" s="72">
        <f>(C7*Assumptions!$B$8+D7*Assumptions!$B$9+E7*Assumptions!$B$10)/Assumptions!$B$12</f>
        <v/>
      </c>
      <c r="I7" s="70" t="n">
        <v>1</v>
      </c>
      <c r="J7" s="70" t="n">
        <v>1</v>
      </c>
      <c r="K7" s="70" t="n">
        <v>0</v>
      </c>
      <c r="L7" s="71">
        <f>I7*Assumptions!$B$5+J7*Assumptions!$B$6+K7*Assumptions!$B$7</f>
        <v/>
      </c>
      <c r="M7" s="72">
        <f>(I7*Assumptions!$B$8+J7*Assumptions!$B$9+K7*Assumptions!$B$10)/Assumptions!$B$12</f>
        <v/>
      </c>
      <c r="O7" s="70" t="n">
        <v>2</v>
      </c>
      <c r="P7" s="70" t="n">
        <v>1</v>
      </c>
      <c r="Q7" s="70" t="n">
        <v>0</v>
      </c>
      <c r="R7" s="71">
        <f>O7*Assumptions!$B$5+P7*Assumptions!$B$6+Q7*Assumptions!$B$7</f>
        <v/>
      </c>
      <c r="S7" s="72">
        <f>(O7*Assumptions!$B$8+P7*Assumptions!$B$9+Q7*Assumptions!$B$10)/Assumptions!$B$12</f>
        <v/>
      </c>
    </row>
    <row r="8">
      <c r="A8" s="30" t="n">
        <v>3</v>
      </c>
      <c r="B8" s="69">
        <f>'Growth Curve'!B7</f>
        <v/>
      </c>
      <c r="C8" s="70" t="n">
        <v>2</v>
      </c>
      <c r="D8" s="70" t="n">
        <v>2</v>
      </c>
      <c r="E8" s="70" t="n">
        <v>1</v>
      </c>
      <c r="F8" s="71">
        <f>C8*Assumptions!$B$5+D8*Assumptions!$B$6+E8*Assumptions!$B$7</f>
        <v/>
      </c>
      <c r="G8" s="72">
        <f>(C8*Assumptions!$B$8+D8*Assumptions!$B$9+E8*Assumptions!$B$10)/Assumptions!$B$12</f>
        <v/>
      </c>
      <c r="I8" s="70" t="n">
        <v>2</v>
      </c>
      <c r="J8" s="70" t="n">
        <v>1</v>
      </c>
      <c r="K8" s="70" t="n">
        <v>1</v>
      </c>
      <c r="L8" s="71">
        <f>I8*Assumptions!$B$5+J8*Assumptions!$B$6+K8*Assumptions!$B$7</f>
        <v/>
      </c>
      <c r="M8" s="72">
        <f>(I8*Assumptions!$B$8+J8*Assumptions!$B$9+K8*Assumptions!$B$10)/Assumptions!$B$12</f>
        <v/>
      </c>
      <c r="O8" s="70" t="n">
        <v>2</v>
      </c>
      <c r="P8" s="70" t="n">
        <v>2</v>
      </c>
      <c r="Q8" s="70" t="n">
        <v>0</v>
      </c>
      <c r="R8" s="71">
        <f>O8*Assumptions!$B$5+P8*Assumptions!$B$6+Q8*Assumptions!$B$7</f>
        <v/>
      </c>
      <c r="S8" s="72">
        <f>(O8*Assumptions!$B$8+P8*Assumptions!$B$9+Q8*Assumptions!$B$10)/Assumptions!$B$12</f>
        <v/>
      </c>
    </row>
    <row r="9">
      <c r="A9" s="30" t="n">
        <v>4</v>
      </c>
      <c r="B9" s="69">
        <f>'Growth Curve'!B8</f>
        <v/>
      </c>
      <c r="C9" s="70" t="n">
        <v>3</v>
      </c>
      <c r="D9" s="70" t="n">
        <v>2</v>
      </c>
      <c r="E9" s="70" t="n">
        <v>1</v>
      </c>
      <c r="F9" s="71">
        <f>C9*Assumptions!$B$5+D9*Assumptions!$B$6+E9*Assumptions!$B$7</f>
        <v/>
      </c>
      <c r="G9" s="72">
        <f>(C9*Assumptions!$B$8+D9*Assumptions!$B$9+E9*Assumptions!$B$10)/Assumptions!$B$12</f>
        <v/>
      </c>
      <c r="I9" s="70" t="n">
        <v>2</v>
      </c>
      <c r="J9" s="70" t="n">
        <v>1</v>
      </c>
      <c r="K9" s="70" t="n">
        <v>1</v>
      </c>
      <c r="L9" s="71">
        <f>I9*Assumptions!$B$5+J9*Assumptions!$B$6+K9*Assumptions!$B$7</f>
        <v/>
      </c>
      <c r="M9" s="72">
        <f>(I9*Assumptions!$B$8+J9*Assumptions!$B$9+K9*Assumptions!$B$10)/Assumptions!$B$12</f>
        <v/>
      </c>
      <c r="O9" s="70" t="n">
        <v>3</v>
      </c>
      <c r="P9" s="70" t="n">
        <v>2</v>
      </c>
      <c r="Q9" s="70" t="n">
        <v>0</v>
      </c>
      <c r="R9" s="71">
        <f>O9*Assumptions!$B$5+P9*Assumptions!$B$6+Q9*Assumptions!$B$7</f>
        <v/>
      </c>
      <c r="S9" s="72">
        <f>(O9*Assumptions!$B$8+P9*Assumptions!$B$9+Q9*Assumptions!$B$10)/Assumptions!$B$12</f>
        <v/>
      </c>
    </row>
    <row r="10">
      <c r="A10" s="30" t="n">
        <v>5</v>
      </c>
      <c r="B10" s="69">
        <f>'Growth Curve'!B9</f>
        <v/>
      </c>
      <c r="C10" s="70" t="n">
        <v>3</v>
      </c>
      <c r="D10" s="70" t="n">
        <v>2</v>
      </c>
      <c r="E10" s="70" t="n">
        <v>1</v>
      </c>
      <c r="F10" s="71">
        <f>C10*Assumptions!$B$5+D10*Assumptions!$B$6+E10*Assumptions!$B$7</f>
        <v/>
      </c>
      <c r="G10" s="72">
        <f>(C10*Assumptions!$B$8+D10*Assumptions!$B$9+E10*Assumptions!$B$10)/Assumptions!$B$12</f>
        <v/>
      </c>
      <c r="I10" s="70" t="n">
        <v>2</v>
      </c>
      <c r="J10" s="70" t="n">
        <v>2</v>
      </c>
      <c r="K10" s="70" t="n">
        <v>1</v>
      </c>
      <c r="L10" s="71">
        <f>I10*Assumptions!$B$5+J10*Assumptions!$B$6+K10*Assumptions!$B$7</f>
        <v/>
      </c>
      <c r="M10" s="72">
        <f>(I10*Assumptions!$B$8+J10*Assumptions!$B$9+K10*Assumptions!$B$10)/Assumptions!$B$12</f>
        <v/>
      </c>
      <c r="O10" s="70" t="n">
        <v>3</v>
      </c>
      <c r="P10" s="70" t="n">
        <v>2</v>
      </c>
      <c r="Q10" s="70" t="n">
        <v>0</v>
      </c>
      <c r="R10" s="71">
        <f>O10*Assumptions!$B$5+P10*Assumptions!$B$6+Q10*Assumptions!$B$7</f>
        <v/>
      </c>
      <c r="S10" s="72">
        <f>(O10*Assumptions!$B$8+P10*Assumptions!$B$9+Q10*Assumptions!$B$10)/Assumptions!$B$12</f>
        <v/>
      </c>
    </row>
    <row r="11">
      <c r="A11" s="30" t="n">
        <v>6</v>
      </c>
      <c r="B11" s="69">
        <f>'Growth Curve'!B10</f>
        <v/>
      </c>
      <c r="C11" s="70" t="n">
        <v>6</v>
      </c>
      <c r="D11" s="70" t="n">
        <v>3</v>
      </c>
      <c r="E11" s="70" t="n">
        <v>2</v>
      </c>
      <c r="F11" s="71">
        <f>C11*Assumptions!$B$5+D11*Assumptions!$B$6+E11*Assumptions!$B$7</f>
        <v/>
      </c>
      <c r="G11" s="72">
        <f>(C11*Assumptions!$B$8+D11*Assumptions!$B$9+E11*Assumptions!$B$10)/Assumptions!$B$12</f>
        <v/>
      </c>
      <c r="I11" s="70" t="n">
        <v>2</v>
      </c>
      <c r="J11" s="70" t="n">
        <v>2</v>
      </c>
      <c r="K11" s="70" t="n">
        <v>1</v>
      </c>
      <c r="L11" s="71">
        <f>I11*Assumptions!$B$5+J11*Assumptions!$B$6+K11*Assumptions!$B$7</f>
        <v/>
      </c>
      <c r="M11" s="72">
        <f>(I11*Assumptions!$B$8+J11*Assumptions!$B$9+K11*Assumptions!$B$10)/Assumptions!$B$12</f>
        <v/>
      </c>
      <c r="O11" s="70" t="n">
        <v>3</v>
      </c>
      <c r="P11" s="70" t="n">
        <v>3</v>
      </c>
      <c r="Q11" s="70" t="n">
        <v>0</v>
      </c>
      <c r="R11" s="71">
        <f>O11*Assumptions!$B$5+P11*Assumptions!$B$6+Q11*Assumptions!$B$7</f>
        <v/>
      </c>
      <c r="S11" s="72">
        <f>(O11*Assumptions!$B$8+P11*Assumptions!$B$9+Q11*Assumptions!$B$10)/Assumptions!$B$12</f>
        <v/>
      </c>
    </row>
    <row r="12">
      <c r="A12" s="30" t="n">
        <v>7</v>
      </c>
      <c r="B12" s="69">
        <f>'Growth Curve'!B11</f>
        <v/>
      </c>
      <c r="C12" s="70" t="n">
        <v>8</v>
      </c>
      <c r="D12" s="70" t="n">
        <v>4</v>
      </c>
      <c r="E12" s="70" t="n">
        <v>3</v>
      </c>
      <c r="F12" s="71">
        <f>C12*Assumptions!$B$5+D12*Assumptions!$B$6+E12*Assumptions!$B$7</f>
        <v/>
      </c>
      <c r="G12" s="72">
        <f>(C12*Assumptions!$B$8+D12*Assumptions!$B$9+E12*Assumptions!$B$10)/Assumptions!$B$12</f>
        <v/>
      </c>
      <c r="I12" s="70" t="n">
        <v>3</v>
      </c>
      <c r="J12" s="70" t="n">
        <v>2</v>
      </c>
      <c r="K12" s="70" t="n">
        <v>1</v>
      </c>
      <c r="L12" s="71">
        <f>I12*Assumptions!$B$5+J12*Assumptions!$B$6+K12*Assumptions!$B$7</f>
        <v/>
      </c>
      <c r="M12" s="72">
        <f>(I12*Assumptions!$B$8+J12*Assumptions!$B$9+K12*Assumptions!$B$10)/Assumptions!$B$12</f>
        <v/>
      </c>
      <c r="O12" s="70" t="n">
        <v>4</v>
      </c>
      <c r="P12" s="70" t="n">
        <v>3</v>
      </c>
      <c r="Q12" s="70" t="n">
        <v>0</v>
      </c>
      <c r="R12" s="71">
        <f>O12*Assumptions!$B$5+P12*Assumptions!$B$6+Q12*Assumptions!$B$7</f>
        <v/>
      </c>
      <c r="S12" s="72">
        <f>(O12*Assumptions!$B$8+P12*Assumptions!$B$9+Q12*Assumptions!$B$10)/Assumptions!$B$12</f>
        <v/>
      </c>
    </row>
    <row r="13">
      <c r="A13" s="30" t="n">
        <v>8</v>
      </c>
      <c r="B13" s="69">
        <f>'Growth Curve'!B12</f>
        <v/>
      </c>
      <c r="C13" s="70" t="n">
        <v>9</v>
      </c>
      <c r="D13" s="70" t="n">
        <v>4</v>
      </c>
      <c r="E13" s="70" t="n">
        <v>4</v>
      </c>
      <c r="F13" s="71">
        <f>C13*Assumptions!$B$5+D13*Assumptions!$B$6+E13*Assumptions!$B$7</f>
        <v/>
      </c>
      <c r="G13" s="72">
        <f>(C13*Assumptions!$B$8+D13*Assumptions!$B$9+E13*Assumptions!$B$10)/Assumptions!$B$12</f>
        <v/>
      </c>
      <c r="I13" s="70" t="n">
        <v>3</v>
      </c>
      <c r="J13" s="70" t="n">
        <v>2</v>
      </c>
      <c r="K13" s="70" t="n">
        <v>1</v>
      </c>
      <c r="L13" s="71">
        <f>I13*Assumptions!$B$5+J13*Assumptions!$B$6+K13*Assumptions!$B$7</f>
        <v/>
      </c>
      <c r="M13" s="72">
        <f>(I13*Assumptions!$B$8+J13*Assumptions!$B$9+K13*Assumptions!$B$10)/Assumptions!$B$12</f>
        <v/>
      </c>
      <c r="O13" s="70" t="n">
        <v>4</v>
      </c>
      <c r="P13" s="70" t="n">
        <v>3</v>
      </c>
      <c r="Q13" s="70" t="n">
        <v>0</v>
      </c>
      <c r="R13" s="71">
        <f>O13*Assumptions!$B$5+P13*Assumptions!$B$6+Q13*Assumptions!$B$7</f>
        <v/>
      </c>
      <c r="S13" s="72">
        <f>(O13*Assumptions!$B$8+P13*Assumptions!$B$9+Q13*Assumptions!$B$10)/Assumptions!$B$12</f>
        <v/>
      </c>
    </row>
    <row r="14">
      <c r="A14" s="30" t="n">
        <v>9</v>
      </c>
      <c r="B14" s="69">
        <f>'Growth Curve'!B13</f>
        <v/>
      </c>
      <c r="C14" s="70" t="n">
        <v>10</v>
      </c>
      <c r="D14" s="70" t="n">
        <v>5</v>
      </c>
      <c r="E14" s="70" t="n">
        <v>4</v>
      </c>
      <c r="F14" s="71">
        <f>C14*Assumptions!$B$5+D14*Assumptions!$B$6+E14*Assumptions!$B$7</f>
        <v/>
      </c>
      <c r="G14" s="72">
        <f>(C14*Assumptions!$B$8+D14*Assumptions!$B$9+E14*Assumptions!$B$10)/Assumptions!$B$12</f>
        <v/>
      </c>
      <c r="I14" s="70" t="n">
        <v>4</v>
      </c>
      <c r="J14" s="70" t="n">
        <v>2</v>
      </c>
      <c r="K14" s="70" t="n">
        <v>1</v>
      </c>
      <c r="L14" s="71">
        <f>I14*Assumptions!$B$5+J14*Assumptions!$B$6+K14*Assumptions!$B$7</f>
        <v/>
      </c>
      <c r="M14" s="72">
        <f>(I14*Assumptions!$B$8+J14*Assumptions!$B$9+K14*Assumptions!$B$10)/Assumptions!$B$12</f>
        <v/>
      </c>
      <c r="O14" s="70" t="n">
        <v>4</v>
      </c>
      <c r="P14" s="70" t="n">
        <v>3</v>
      </c>
      <c r="Q14" s="70" t="n">
        <v>0</v>
      </c>
      <c r="R14" s="71">
        <f>O14*Assumptions!$B$5+P14*Assumptions!$B$6+Q14*Assumptions!$B$7</f>
        <v/>
      </c>
      <c r="S14" s="72">
        <f>(O14*Assumptions!$B$8+P14*Assumptions!$B$9+Q14*Assumptions!$B$10)/Assumptions!$B$12</f>
        <v/>
      </c>
    </row>
    <row r="15">
      <c r="A15" s="30" t="n">
        <v>10</v>
      </c>
      <c r="B15" s="69">
        <f>'Growth Curve'!B14</f>
        <v/>
      </c>
      <c r="C15" s="70" t="n">
        <v>11</v>
      </c>
      <c r="D15" s="70" t="n">
        <v>5</v>
      </c>
      <c r="E15" s="70" t="n">
        <v>5</v>
      </c>
      <c r="F15" s="71">
        <f>C15*Assumptions!$B$5+D15*Assumptions!$B$6+E15*Assumptions!$B$7</f>
        <v/>
      </c>
      <c r="G15" s="72">
        <f>(C15*Assumptions!$B$8+D15*Assumptions!$B$9+E15*Assumptions!$B$10)/Assumptions!$B$12</f>
        <v/>
      </c>
      <c r="I15" s="70" t="n">
        <v>4</v>
      </c>
      <c r="J15" s="70" t="n">
        <v>2</v>
      </c>
      <c r="K15" s="70" t="n">
        <v>1</v>
      </c>
      <c r="L15" s="71">
        <f>I15*Assumptions!$B$5+J15*Assumptions!$B$6+K15*Assumptions!$B$7</f>
        <v/>
      </c>
      <c r="M15" s="72">
        <f>(I15*Assumptions!$B$8+J15*Assumptions!$B$9+K15*Assumptions!$B$10)/Assumptions!$B$12</f>
        <v/>
      </c>
      <c r="O15" s="70" t="n">
        <v>5</v>
      </c>
      <c r="P15" s="70" t="n">
        <v>3</v>
      </c>
      <c r="Q15" s="70" t="n">
        <v>0</v>
      </c>
      <c r="R15" s="71">
        <f>O15*Assumptions!$B$5+P15*Assumptions!$B$6+Q15*Assumptions!$B$7</f>
        <v/>
      </c>
      <c r="S15" s="72">
        <f>(O15*Assumptions!$B$8+P15*Assumptions!$B$9+Q15*Assumptions!$B$10)/Assumptions!$B$12</f>
        <v/>
      </c>
    </row>
    <row r="16">
      <c r="A16" s="30" t="n">
        <v>11</v>
      </c>
      <c r="B16" s="69">
        <f>'Growth Curve'!B15</f>
        <v/>
      </c>
      <c r="C16" s="70" t="n">
        <v>12</v>
      </c>
      <c r="D16" s="70" t="n">
        <v>6</v>
      </c>
      <c r="E16" s="70" t="n">
        <v>5</v>
      </c>
      <c r="F16" s="71">
        <f>C16*Assumptions!$B$5+D16*Assumptions!$B$6+E16*Assumptions!$B$7</f>
        <v/>
      </c>
      <c r="G16" s="72">
        <f>(C16*Assumptions!$B$8+D16*Assumptions!$B$9+E16*Assumptions!$B$10)/Assumptions!$B$12</f>
        <v/>
      </c>
      <c r="I16" s="70" t="n">
        <v>4</v>
      </c>
      <c r="J16" s="70" t="n">
        <v>2</v>
      </c>
      <c r="K16" s="70" t="n">
        <v>1</v>
      </c>
      <c r="L16" s="71">
        <f>I16*Assumptions!$B$5+J16*Assumptions!$B$6+K16*Assumptions!$B$7</f>
        <v/>
      </c>
      <c r="M16" s="72">
        <f>(I16*Assumptions!$B$8+J16*Assumptions!$B$9+K16*Assumptions!$B$10)/Assumptions!$B$12</f>
        <v/>
      </c>
      <c r="O16" s="70" t="n">
        <v>5</v>
      </c>
      <c r="P16" s="70" t="n">
        <v>3</v>
      </c>
      <c r="Q16" s="70" t="n">
        <v>0</v>
      </c>
      <c r="R16" s="71">
        <f>O16*Assumptions!$B$5+P16*Assumptions!$B$6+Q16*Assumptions!$B$7</f>
        <v/>
      </c>
      <c r="S16" s="72">
        <f>(O16*Assumptions!$B$8+P16*Assumptions!$B$9+Q16*Assumptions!$B$10)/Assumptions!$B$12</f>
        <v/>
      </c>
    </row>
    <row r="17">
      <c r="A17" s="30" t="n">
        <v>12</v>
      </c>
      <c r="B17" s="69">
        <f>'Growth Curve'!B16</f>
        <v/>
      </c>
      <c r="C17" s="70" t="n">
        <v>13</v>
      </c>
      <c r="D17" s="70" t="n">
        <v>6</v>
      </c>
      <c r="E17" s="70" t="n">
        <v>6</v>
      </c>
      <c r="F17" s="71">
        <f>C17*Assumptions!$B$5+D17*Assumptions!$B$6+E17*Assumptions!$B$7</f>
        <v/>
      </c>
      <c r="G17" s="72">
        <f>(C17*Assumptions!$B$8+D17*Assumptions!$B$9+E17*Assumptions!$B$10)/Assumptions!$B$12</f>
        <v/>
      </c>
      <c r="I17" s="70" t="n">
        <v>4</v>
      </c>
      <c r="J17" s="70" t="n">
        <v>3</v>
      </c>
      <c r="K17" s="70" t="n">
        <v>1</v>
      </c>
      <c r="L17" s="71">
        <f>I17*Assumptions!$B$5+J17*Assumptions!$B$6+K17*Assumptions!$B$7</f>
        <v/>
      </c>
      <c r="M17" s="72">
        <f>(I17*Assumptions!$B$8+J17*Assumptions!$B$9+K17*Assumptions!$B$10)/Assumptions!$B$12</f>
        <v/>
      </c>
      <c r="O17" s="70" t="n">
        <v>5</v>
      </c>
      <c r="P17" s="70" t="n">
        <v>4</v>
      </c>
      <c r="Q17" s="70" t="n">
        <v>0</v>
      </c>
      <c r="R17" s="71">
        <f>O17*Assumptions!$B$5+P17*Assumptions!$B$6+Q17*Assumptions!$B$7</f>
        <v/>
      </c>
      <c r="S17" s="72">
        <f>(O17*Assumptions!$B$8+P17*Assumptions!$B$9+Q17*Assumptions!$B$10)/Assumptions!$B$12</f>
        <v/>
      </c>
    </row>
    <row r="19">
      <c r="A19" s="29" t="inlineStr">
        <is>
          <t>Year-1 Summary</t>
        </is>
      </c>
    </row>
    <row r="20">
      <c r="A20" s="47" t="inlineStr">
        <is>
          <t>Metric</t>
        </is>
      </c>
      <c r="B20" s="47" t="inlineStr">
        <is>
          <t>A — Partner Joins</t>
        </is>
      </c>
      <c r="C20" s="47" t="inlineStr">
        <is>
          <t>B — Evenings Only</t>
        </is>
      </c>
      <c r="D20" s="47" t="inlineStr">
        <is>
          <t>C — Homeowner-Only</t>
        </is>
      </c>
    </row>
    <row r="21">
      <c r="A21" s="51" t="inlineStr">
        <is>
          <t>Total Audits</t>
        </is>
      </c>
      <c r="B21" s="55">
        <f>SUM(C6:C17)</f>
        <v/>
      </c>
      <c r="C21" s="55">
        <f>SUM(I6:I17)</f>
        <v/>
      </c>
      <c r="D21" s="55">
        <f>SUM(O6:O17)</f>
        <v/>
      </c>
    </row>
    <row r="22">
      <c r="A22" s="51" t="inlineStr">
        <is>
          <t>Total Self-Inspections</t>
        </is>
      </c>
      <c r="B22" s="55">
        <f>SUM(D6:D17)</f>
        <v/>
      </c>
      <c r="C22" s="55">
        <f>SUM(J6:J17)</f>
        <v/>
      </c>
      <c r="D22" s="55">
        <f>SUM(P6:P17)</f>
        <v/>
      </c>
    </row>
    <row r="23">
      <c r="A23" s="51" t="inlineStr">
        <is>
          <t>Total Hardening Jobs</t>
        </is>
      </c>
      <c r="B23" s="55">
        <f>SUM(E6:E17)</f>
        <v/>
      </c>
      <c r="C23" s="55">
        <f>SUM(K6:K17)</f>
        <v/>
      </c>
      <c r="D23" s="55">
        <f>SUM(Q6:Q17)</f>
        <v/>
      </c>
    </row>
    <row r="24">
      <c r="A24" s="51" t="inlineStr">
        <is>
          <t>Total Revenue ($)</t>
        </is>
      </c>
      <c r="B24" s="53">
        <f>SUM(F6:F17)</f>
        <v/>
      </c>
      <c r="C24" s="53">
        <f>SUM(L6:L17)</f>
        <v/>
      </c>
      <c r="D24" s="53">
        <f>SUM(R6:R17)</f>
        <v/>
      </c>
    </row>
    <row r="25">
      <c r="A25" s="56" t="inlineStr">
        <is>
          <t>Est. Year-1 Net Profit ($)</t>
        </is>
      </c>
      <c r="B25" s="57">
        <f>(SUMPRODUCT(C6:C17,Assumptions!$B$5)+SUMPRODUCT(D6:D17,Assumptions!$B$6))*Assumptions!$B$20+(SUMPRODUCT(E6:E17,Assumptions!$B$7))*Assumptions!$B$21-12*Assumptions!$B$22</f>
        <v/>
      </c>
      <c r="C25" s="57">
        <f>(SUMPRODUCT(I6:I17,Assumptions!$B$5)+SUMPRODUCT(J6:J17,Assumptions!$B$6))*Assumptions!$B$20+(SUMPRODUCT(K6:K17,Assumptions!$B$7))*Assumptions!$B$21-12*Assumptions!$B$22</f>
        <v/>
      </c>
      <c r="D25" s="57">
        <f>(SUMPRODUCT(O6:O17,Assumptions!$B$5)+SUMPRODUCT(P6:P17,Assumptions!$B$6))*Assumptions!$B$20+(SUMPRODUCT(Q6:Q17,Assumptions!$B$7))*Assumptions!$B$21-12*Assumptions!$B$22</f>
        <v/>
      </c>
    </row>
    <row r="26">
      <c r="A26" s="51" t="inlineStr">
        <is>
          <t>Peak Month Hours/Week</t>
        </is>
      </c>
      <c r="B26" s="54">
        <f>MAX(G6:G17)</f>
        <v/>
      </c>
      <c r="C26" s="54">
        <f>MAX(M6:M17)</f>
        <v/>
      </c>
      <c r="D26" s="54">
        <f>MAX(S6:S17)</f>
        <v/>
      </c>
    </row>
    <row r="27">
      <c r="A27" s="51" t="inlineStr">
        <is>
          <t>Capacity Threshold (Peak Month, hrs/wk)</t>
        </is>
      </c>
      <c r="B27" s="54">
        <f>IF(12&gt;=Assumptions!$B$19,Assumptions!$B$18,Assumptions!$B$17)</f>
        <v/>
      </c>
      <c r="C27" s="54">
        <f>Assumptions!$B$17</f>
        <v/>
      </c>
      <c r="D27" s="54">
        <f>Assumptions!$B$17</f>
        <v/>
      </c>
    </row>
    <row r="29" ht="55" customHeight="1" s="21">
      <c r="A29" s="45" t="inlineStr">
        <is>
          <t>Path A's threshold uses Month 12 (post-join) for comparison since that's the relevant capacity once the partner is in full-time; check earlier months against the solo rate if you want the pre-join capacity picture. Legal note: Path C drops hardening entirely, which means almost every open item in legal-risk-notes.md (contractor-licensing exemption, permits, marketing-as-contractor risk) becomes moot — there's no physical contracting work to license at all.</t>
        </is>
      </c>
    </row>
  </sheetData>
  <mergeCells count="6">
    <mergeCell ref="I4:M4"/>
    <mergeCell ref="C4:G4"/>
    <mergeCell ref="A29:L29"/>
    <mergeCell ref="A1:S1"/>
    <mergeCell ref="A2:S2"/>
    <mergeCell ref="O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2026-08-06T02:19:02Z</dcterms:created>
  <dcterms:modified xmlns:dcterms="http://purl.org/dc/terms/" xmlns:xsi="http://www.w3.org/2001/XMLSchema-instance" xsi:type="dcterms:W3CDTF">2026-08-06T02:45:04Z</dcterms:modified>
  <cp:revision>0</cp:revision>
</cp:coreProperties>
</file>